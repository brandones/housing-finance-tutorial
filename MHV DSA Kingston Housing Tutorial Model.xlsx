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 1 - Start here!" sheetId="1" r:id="rId5"/>
    <sheet state="visible" name="Model 2" sheetId="2" r:id="rId6"/>
    <sheet state="visible" name="Model 3" sheetId="3" r:id="rId7"/>
  </sheets>
  <definedNames/>
  <calcPr/>
</workbook>
</file>

<file path=xl/sharedStrings.xml><?xml version="1.0" encoding="utf-8"?>
<sst xmlns="http://schemas.openxmlformats.org/spreadsheetml/2006/main" count="160" uniqueCount="93">
  <si>
    <t>🏢 Let's build an apartment!</t>
  </si>
  <si>
    <t>Square feet</t>
  </si>
  <si>
    <t>🏗️ Development</t>
  </si>
  <si>
    <t>Total Development Cost</t>
  </si>
  <si>
    <t>per sq. ft.</t>
  </si>
  <si>
    <t>Equity</t>
  </si>
  <si>
    <t>Loan needed</t>
  </si>
  <si>
    <t>Interest rate</t>
  </si>
  <si>
    <t>Loan term years</t>
  </si>
  <si>
    <t>💵 Income</t>
  </si>
  <si>
    <t>Rent</t>
  </si>
  <si>
    <t>minus</t>
  </si>
  <si>
    <t>💸 Expenses</t>
  </si>
  <si>
    <t>Operating costs</t>
  </si>
  <si>
    <t>equals</t>
  </si>
  <si>
    <t>💰 Net Operating Income (NOI)</t>
  </si>
  <si>
    <t>NOI sufficient?</t>
  </si>
  <si>
    <t>which minus</t>
  </si>
  <si>
    <t>🤑 Debt Service</t>
  </si>
  <si>
    <t>📈 Cash flow</t>
  </si>
  <si>
    <t>🤔 Requirements</t>
  </si>
  <si>
    <t>Debt Coverage Ratio</t>
  </si>
  <si>
    <t>requires NOI of</t>
  </si>
  <si>
    <t>Stuff for nerds is over here on the right</t>
  </si>
  <si>
    <t>🏞️ Land Costs</t>
  </si>
  <si>
    <t>Land cost</t>
  </si>
  <si>
    <t>Kingston land:</t>
  </si>
  <si>
    <t>to</t>
  </si>
  <si>
    <t>per acre</t>
  </si>
  <si>
    <t>Hard costs + soft costs</t>
  </si>
  <si>
    <t>Units per acre:</t>
  </si>
  <si>
    <t>per s.f.</t>
  </si>
  <si>
    <t>Per-unit land:</t>
  </si>
  <si>
    <t>of TDC</t>
  </si>
  <si>
    <t>Subsidy (capital)</t>
  </si>
  <si>
    <t>🔨 Development Costs (per s.f.)</t>
  </si>
  <si>
    <t>Ultra low end</t>
  </si>
  <si>
    <t>Typical</t>
  </si>
  <si>
    <t>Previaling wage</t>
  </si>
  <si>
    <t>Luxury</t>
  </si>
  <si>
    <t>Subsidy (operating)</t>
  </si>
  <si>
    <t>Property tax</t>
  </si>
  <si>
    <t>Flow sufficient?</t>
  </si>
  <si>
    <t>Hurdle rate</t>
  </si>
  <si>
    <t>requires cash flow of</t>
  </si>
  <si>
    <t>For this one, only mess with boxes outlined in gold.</t>
  </si>
  <si>
    <t>🏢 Let's build a building!</t>
  </si>
  <si>
    <t>Units</t>
  </si>
  <si>
    <t>Square feet per unit</t>
  </si>
  <si>
    <t>Average household size</t>
  </si>
  <si>
    <t>building total</t>
  </si>
  <si>
    <t>per unit</t>
  </si>
  <si>
    <t>🧮 Income-restricted Rent Calculator</t>
  </si>
  <si>
    <t>per-unit rent</t>
  </si>
  <si>
    <t>count</t>
  </si>
  <si>
    <t>vacancy loss</t>
  </si>
  <si>
    <t>total</t>
  </si>
  <si>
    <t>AMI</t>
  </si>
  <si>
    <t>Income</t>
  </si>
  <si>
    <t>Allowed Rent + Utilities</t>
  </si>
  <si>
    <t>HH size adjusted gross rent</t>
  </si>
  <si>
    <t>Utility allowance</t>
  </si>
  <si>
    <t>30% AMI Units</t>
  </si>
  <si>
    <t>60% AMI Units</t>
  </si>
  <si>
    <t>80% AMI Units</t>
  </si>
  <si>
    <t>Market Rate Units</t>
  </si>
  <si>
    <t>Gross Expected Income</t>
  </si>
  <si>
    <t>Average HH size adjustment</t>
  </si>
  <si>
    <t>per-unit</t>
  </si>
  <si>
    <t>🤖 Kingston Market-Rate Rent Vacancy Model</t>
  </si>
  <si>
    <t>less</t>
  </si>
  <si>
    <t>Average bedrooms for HH size</t>
  </si>
  <si>
    <t>Parameters</t>
  </si>
  <si>
    <t>Operating subsidy</t>
  </si>
  <si>
    <t>75th percentile rents (actual)</t>
  </si>
  <si>
    <t>Model price</t>
  </si>
  <si>
    <t>Baseline</t>
  </si>
  <si>
    <t>Studio</t>
  </si>
  <si>
    <t>1BR</t>
  </si>
  <si>
    <t>Increment</t>
  </si>
  <si>
    <t>2BR</t>
  </si>
  <si>
    <t>NOI minus</t>
  </si>
  <si>
    <t>3BR</t>
  </si>
  <si>
    <t>75th percentile rent reference</t>
  </si>
  <si>
    <t>Baseline vacancy loss</t>
  </si>
  <si>
    <t>📋 Validation</t>
  </si>
  <si>
    <t>Price</t>
  </si>
  <si>
    <t>Vacancy</t>
  </si>
  <si>
    <t>✨ Model Results</t>
  </si>
  <si>
    <t>Input Rent</t>
  </si>
  <si>
    <t>Output Vacancy</t>
  </si>
  <si>
    <t>from "Market Rate Units"</t>
  </si>
  <si>
    <t>---&gt;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</si>
</sst>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7">
    <font>
      <sz val="10.0"/>
      <color rgb="FF000000"/>
      <name val="Arial"/>
      <scheme val="minor"/>
    </font>
    <font>
      <sz val="18.0"/>
      <color theme="1"/>
      <name val="Poppins"/>
    </font>
    <font/>
    <font>
      <color theme="1"/>
      <name val="Poppins"/>
    </font>
    <font>
      <sz val="10.0"/>
      <color theme="1"/>
      <name val="Poppins"/>
    </font>
    <font>
      <sz val="14.0"/>
      <color theme="1"/>
      <name val="Poppins"/>
    </font>
    <font>
      <sz val="14.0"/>
      <color theme="1"/>
      <name val="Arial"/>
      <scheme val="minor"/>
    </font>
    <font>
      <i/>
      <color theme="1"/>
      <name val="Arial"/>
      <scheme val="minor"/>
    </font>
    <font>
      <i/>
      <color theme="1"/>
      <name val="Poppins"/>
    </font>
    <font>
      <color theme="1"/>
      <name val="Arial"/>
      <scheme val="minor"/>
    </font>
    <font>
      <b/>
      <color theme="1"/>
      <name val="Poppins"/>
    </font>
    <font>
      <color rgb="FFF3F3F3"/>
      <name val="Poppins"/>
    </font>
    <font>
      <color rgb="FFF3F3F3"/>
      <name val="Arial"/>
      <scheme val="minor"/>
    </font>
    <font>
      <sz val="14.0"/>
      <color rgb="FF666666"/>
      <name val="Poppins"/>
    </font>
    <font>
      <color rgb="FF666666"/>
      <name val="Poppins"/>
    </font>
    <font>
      <sz val="14.0"/>
      <color rgb="FF666666"/>
      <name val="Arial"/>
      <scheme val="minor"/>
    </font>
    <font>
      <color rgb="FF666666"/>
      <name val="Arial"/>
      <scheme val="minor"/>
    </font>
    <font>
      <i/>
      <sz val="14.0"/>
      <color theme="1"/>
      <name val="Poppins"/>
    </font>
    <font>
      <b/>
      <i/>
      <color theme="1"/>
      <name val="Poppins"/>
    </font>
    <font>
      <b/>
      <color rgb="FF666666"/>
      <name val="Arial"/>
      <scheme val="minor"/>
    </font>
    <font>
      <b/>
      <color rgb="FF666666"/>
      <name val="Poppins"/>
    </font>
    <font>
      <b/>
      <color theme="1"/>
      <name val="Arial"/>
      <scheme val="minor"/>
    </font>
    <font>
      <i/>
      <color rgb="FF666666"/>
      <name val="Arial"/>
      <scheme val="minor"/>
    </font>
    <font>
      <b/>
      <color rgb="FF666666"/>
      <name val="Arial"/>
    </font>
    <font>
      <b/>
      <i/>
      <color rgb="FF666666"/>
      <name val="Arial"/>
      <scheme val="minor"/>
    </font>
    <font>
      <i/>
      <color rgb="FF666666"/>
      <name val="Poppins"/>
    </font>
    <font>
      <color rgb="FF66666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F9FF"/>
        <bgColor rgb="FFEAF9FF"/>
      </patternFill>
    </fill>
    <fill>
      <patternFill patternType="solid">
        <fgColor rgb="FFF5F1FF"/>
        <bgColor rgb="FFF5F1FF"/>
      </patternFill>
    </fill>
    <fill>
      <patternFill patternType="solid">
        <fgColor rgb="FFFFF9F3"/>
        <bgColor rgb="FFFFF9F3"/>
      </patternFill>
    </fill>
    <fill>
      <patternFill patternType="solid">
        <fgColor rgb="FFF3F3F3"/>
        <bgColor rgb="FFF3F3F3"/>
      </patternFill>
    </fill>
  </fills>
  <borders count="3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double">
        <color rgb="FF434343"/>
      </bottom>
    </border>
    <border>
      <bottom style="double">
        <color rgb="FF434343"/>
      </bottom>
    </border>
    <border>
      <right style="thin">
        <color rgb="FF000000"/>
      </right>
      <bottom style="double">
        <color rgb="FF434343"/>
      </bottom>
    </border>
    <border>
      <left style="thin">
        <color rgb="FF000000"/>
      </left>
      <top style="double">
        <color rgb="FF434343"/>
      </top>
    </border>
    <border>
      <top style="double">
        <color rgb="FF434343"/>
      </top>
    </border>
    <border>
      <right style="thin">
        <color rgb="FF000000"/>
      </right>
      <top style="double">
        <color rgb="FF434343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medium">
        <color rgb="FFF1C232"/>
      </left>
      <top style="medium">
        <color rgb="FFF1C232"/>
      </top>
      <bottom style="medium">
        <color rgb="FFF1C232"/>
      </bottom>
    </border>
    <border>
      <top style="medium">
        <color rgb="FFF1C232"/>
      </top>
      <bottom style="medium">
        <color rgb="FFF1C232"/>
      </bottom>
    </border>
    <border>
      <right style="medium">
        <color rgb="FFF1C232"/>
      </right>
      <top style="medium">
        <color rgb="FFF1C232"/>
      </top>
      <bottom style="medium">
        <color rgb="FFF1C232"/>
      </bottom>
    </border>
    <border>
      <left style="medium">
        <color rgb="FFF1C232"/>
      </left>
      <right style="medium">
        <color rgb="FFF1C232"/>
      </right>
      <top style="medium">
        <color rgb="FFF1C232"/>
      </top>
    </border>
    <border>
      <left style="medium">
        <color rgb="FFF1C232"/>
      </left>
      <right style="medium">
        <color rgb="FFF1C232"/>
      </right>
      <top style="medium">
        <color rgb="FFF1C232"/>
      </top>
      <bottom style="medium">
        <color rgb="FFF1C232"/>
      </bottom>
    </border>
    <border>
      <left style="medium">
        <color rgb="FFF1C232"/>
      </left>
      <right style="medium">
        <color rgb="FFF1C232"/>
      </right>
      <bottom style="medium">
        <color rgb="FFF1C232"/>
      </bottom>
    </border>
    <border>
      <left style="medium">
        <color rgb="FFF1C232"/>
      </left>
      <right style="medium">
        <color rgb="FFF1C232"/>
      </right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ont="1">
      <alignment readingOrder="0"/>
    </xf>
    <xf borderId="5" fillId="2" fontId="3" numFmtId="0" xfId="0" applyAlignment="1" applyBorder="1" applyFont="1">
      <alignment readingOrder="0"/>
    </xf>
    <xf borderId="5" fillId="2" fontId="3" numFmtId="0" xfId="0" applyBorder="1" applyFont="1"/>
    <xf borderId="6" fillId="2" fontId="3" numFmtId="0" xfId="0" applyBorder="1" applyFont="1"/>
    <xf borderId="0" fillId="0" fontId="1" numFmtId="0" xfId="0" applyAlignment="1" applyFont="1">
      <alignment readingOrder="0"/>
    </xf>
    <xf borderId="1" fillId="3" fontId="5" numFmtId="0" xfId="0" applyAlignment="1" applyBorder="1" applyFill="1" applyFont="1">
      <alignment readingOrder="0"/>
    </xf>
    <xf borderId="2" fillId="3" fontId="3" numFmtId="0" xfId="0" applyBorder="1" applyFont="1"/>
    <xf borderId="3" fillId="3" fontId="3" numFmtId="0" xfId="0" applyBorder="1" applyFont="1"/>
    <xf borderId="0" fillId="0" fontId="6" numFmtId="0" xfId="0" applyAlignment="1" applyFont="1">
      <alignment readingOrder="0"/>
    </xf>
    <xf borderId="7" fillId="3" fontId="3" numFmtId="0" xfId="0" applyAlignment="1" applyBorder="1" applyFont="1">
      <alignment readingOrder="0"/>
    </xf>
    <xf borderId="0" fillId="3" fontId="3" numFmtId="164" xfId="0" applyAlignment="1" applyFont="1" applyNumberFormat="1">
      <alignment readingOrder="0"/>
    </xf>
    <xf borderId="0" fillId="3" fontId="3" numFmtId="0" xfId="0" applyFont="1"/>
    <xf borderId="0" fillId="3" fontId="3" numFmtId="164" xfId="0" applyFont="1" applyNumberFormat="1"/>
    <xf borderId="8" fillId="3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3" fontId="3" numFmtId="9" xfId="0" applyFont="1" applyNumberFormat="1"/>
    <xf borderId="8" fillId="3" fontId="3" numFmtId="0" xfId="0" applyBorder="1" applyFont="1"/>
    <xf borderId="0" fillId="3" fontId="3" numFmtId="10" xfId="0" applyAlignment="1" applyFont="1" applyNumberFormat="1">
      <alignment readingOrder="0"/>
    </xf>
    <xf borderId="4" fillId="3" fontId="3" numFmtId="0" xfId="0" applyAlignment="1" applyBorder="1" applyFont="1">
      <alignment readingOrder="0"/>
    </xf>
    <xf borderId="5" fillId="3" fontId="3" numFmtId="0" xfId="0" applyAlignment="1" applyBorder="1" applyFont="1">
      <alignment readingOrder="0"/>
    </xf>
    <xf borderId="5" fillId="3" fontId="3" numFmtId="0" xfId="0" applyBorder="1" applyFont="1"/>
    <xf borderId="6" fillId="3" fontId="3" numFmtId="0" xfId="0" applyBorder="1" applyFont="1"/>
    <xf borderId="1" fillId="4" fontId="5" numFmtId="0" xfId="0" applyAlignment="1" applyBorder="1" applyFill="1" applyFont="1">
      <alignment readingOrder="0"/>
    </xf>
    <xf borderId="2" fillId="4" fontId="3" numFmtId="0" xfId="0" applyBorder="1" applyFont="1"/>
    <xf borderId="3" fillId="4" fontId="3" numFmtId="0" xfId="0" applyBorder="1" applyFont="1"/>
    <xf borderId="7" fillId="4" fontId="3" numFmtId="0" xfId="0" applyAlignment="1" applyBorder="1" applyFont="1">
      <alignment readingOrder="0"/>
    </xf>
    <xf borderId="0" fillId="4" fontId="3" numFmtId="164" xfId="0" applyAlignment="1" applyFont="1" applyNumberFormat="1">
      <alignment readingOrder="0"/>
    </xf>
    <xf borderId="0" fillId="4" fontId="3" numFmtId="0" xfId="0" applyFont="1"/>
    <xf borderId="8" fillId="4" fontId="3" numFmtId="0" xfId="0" applyBorder="1" applyFont="1"/>
    <xf borderId="0" fillId="0" fontId="7" numFmtId="0" xfId="0" applyFont="1"/>
    <xf borderId="7" fillId="4" fontId="8" numFmtId="0" xfId="0" applyAlignment="1" applyBorder="1" applyFont="1">
      <alignment horizontal="center" readingOrder="0"/>
    </xf>
    <xf borderId="7" fillId="4" fontId="5" numFmtId="0" xfId="0" applyAlignment="1" applyBorder="1" applyFont="1">
      <alignment readingOrder="0"/>
    </xf>
    <xf borderId="0" fillId="4" fontId="9" numFmtId="0" xfId="0" applyFont="1"/>
    <xf borderId="8" fillId="4" fontId="9" numFmtId="0" xfId="0" applyBorder="1" applyFont="1"/>
    <xf borderId="7" fillId="4" fontId="7" numFmtId="0" xfId="0" applyAlignment="1" applyBorder="1" applyFont="1">
      <alignment horizontal="center" readingOrder="0"/>
    </xf>
    <xf borderId="7" fillId="4" fontId="5" numFmtId="0" xfId="0" applyAlignment="1" applyBorder="1" applyFont="1">
      <alignment readingOrder="0" shrinkToFit="0" vertical="center" wrapText="1"/>
    </xf>
    <xf borderId="0" fillId="4" fontId="10" numFmtId="164" xfId="0" applyAlignment="1" applyFont="1" applyNumberFormat="1">
      <alignment vertical="center"/>
    </xf>
    <xf borderId="0" fillId="4" fontId="3" numFmtId="0" xfId="0" applyAlignment="1" applyFont="1">
      <alignment vertical="center"/>
    </xf>
    <xf borderId="0" fillId="4" fontId="8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/>
    </xf>
    <xf borderId="0" fillId="0" fontId="11" numFmtId="0" xfId="0" applyFont="1"/>
    <xf borderId="7" fillId="4" fontId="5" numFmtId="0" xfId="0" applyAlignment="1" applyBorder="1" applyFont="1">
      <alignment readingOrder="0"/>
    </xf>
    <xf borderId="0" fillId="4" fontId="3" numFmtId="165" xfId="0" applyFont="1" applyNumberFormat="1"/>
    <xf borderId="0" fillId="0" fontId="12" numFmtId="0" xfId="0" applyFont="1"/>
    <xf borderId="9" fillId="4" fontId="5" numFmtId="0" xfId="0" applyAlignment="1" applyBorder="1" applyFont="1">
      <alignment readingOrder="0" vertical="center"/>
    </xf>
    <xf borderId="10" fillId="4" fontId="10" numFmtId="164" xfId="0" applyAlignment="1" applyBorder="1" applyFont="1" applyNumberFormat="1">
      <alignment vertical="center"/>
    </xf>
    <xf borderId="10" fillId="4" fontId="3" numFmtId="0" xfId="0" applyAlignment="1" applyBorder="1" applyFont="1">
      <alignment vertical="center"/>
    </xf>
    <xf borderId="10" fillId="4" fontId="8" numFmtId="0" xfId="0" applyAlignment="1" applyBorder="1" applyFont="1">
      <alignment readingOrder="0" shrinkToFit="0" vertical="center" wrapText="1"/>
    </xf>
    <xf borderId="11" fillId="4" fontId="3" numFmtId="0" xfId="0" applyBorder="1" applyFont="1"/>
    <xf borderId="12" fillId="4" fontId="5" numFmtId="0" xfId="0" applyAlignment="1" applyBorder="1" applyFont="1">
      <alignment readingOrder="0"/>
    </xf>
    <xf borderId="13" fillId="4" fontId="3" numFmtId="0" xfId="0" applyBorder="1" applyFont="1"/>
    <xf borderId="14" fillId="4" fontId="3" numFmtId="0" xfId="0" applyBorder="1" applyFont="1"/>
    <xf borderId="4" fillId="4" fontId="3" numFmtId="0" xfId="0" applyAlignment="1" applyBorder="1" applyFont="1">
      <alignment readingOrder="0"/>
    </xf>
    <xf borderId="5" fillId="4" fontId="3" numFmtId="0" xfId="0" applyAlignment="1" applyBorder="1" applyFont="1">
      <alignment readingOrder="0"/>
    </xf>
    <xf borderId="5" fillId="4" fontId="9" numFmtId="0" xfId="0" applyBorder="1" applyFont="1"/>
    <xf borderId="5" fillId="4" fontId="8" numFmtId="0" xfId="0" applyAlignment="1" applyBorder="1" applyFont="1">
      <alignment readingOrder="0"/>
    </xf>
    <xf borderId="6" fillId="4" fontId="3" numFmtId="165" xfId="0" applyBorder="1" applyFont="1" applyNumberFormat="1"/>
    <xf borderId="15" fillId="5" fontId="13" numFmtId="0" xfId="0" applyAlignment="1" applyBorder="1" applyFill="1" applyFont="1">
      <alignment readingOrder="0"/>
    </xf>
    <xf borderId="16" fillId="5" fontId="14" numFmtId="0" xfId="0" applyBorder="1" applyFont="1"/>
    <xf borderId="17" fillId="5" fontId="14" numFmtId="0" xfId="0" applyBorder="1" applyFont="1"/>
    <xf borderId="0" fillId="0" fontId="14" numFmtId="0" xfId="0" applyFont="1"/>
    <xf borderId="1" fillId="5" fontId="15" numFmtId="0" xfId="0" applyAlignment="1" applyBorder="1" applyFont="1">
      <alignment readingOrder="0"/>
    </xf>
    <xf borderId="2" fillId="5" fontId="16" numFmtId="0" xfId="0" applyBorder="1" applyFont="1"/>
    <xf borderId="2" fillId="5" fontId="14" numFmtId="0" xfId="0" applyBorder="1" applyFont="1"/>
    <xf borderId="3" fillId="5" fontId="14" numFmtId="0" xfId="0" applyBorder="1" applyFont="1"/>
    <xf borderId="7" fillId="5" fontId="14" numFmtId="0" xfId="0" applyAlignment="1" applyBorder="1" applyFont="1">
      <alignment readingOrder="0"/>
    </xf>
    <xf borderId="0" fillId="5" fontId="14" numFmtId="164" xfId="0" applyAlignment="1" applyFont="1" applyNumberFormat="1">
      <alignment readingOrder="0"/>
    </xf>
    <xf borderId="0" fillId="5" fontId="14" numFmtId="0" xfId="0" applyAlignment="1" applyFont="1">
      <alignment readingOrder="0"/>
    </xf>
    <xf borderId="8" fillId="5" fontId="14" numFmtId="0" xfId="0" applyAlignment="1" applyBorder="1" applyFont="1">
      <alignment readingOrder="0"/>
    </xf>
    <xf borderId="0" fillId="5" fontId="14" numFmtId="0" xfId="0" applyFont="1"/>
    <xf borderId="8" fillId="5" fontId="14" numFmtId="0" xfId="0" applyBorder="1" applyFont="1"/>
    <xf borderId="4" fillId="5" fontId="14" numFmtId="0" xfId="0" applyAlignment="1" applyBorder="1" applyFont="1">
      <alignment readingOrder="0"/>
    </xf>
    <xf borderId="5" fillId="5" fontId="14" numFmtId="164" xfId="0" applyBorder="1" applyFont="1" applyNumberFormat="1"/>
    <xf borderId="5" fillId="5" fontId="14" numFmtId="0" xfId="0" applyAlignment="1" applyBorder="1" applyFont="1">
      <alignment readingOrder="0"/>
    </xf>
    <xf borderId="6" fillId="5" fontId="14" numFmtId="0" xfId="0" applyBorder="1" applyFont="1"/>
    <xf borderId="0" fillId="3" fontId="9" numFmtId="0" xfId="0" applyFont="1"/>
    <xf borderId="0" fillId="3" fontId="8" numFmtId="9" xfId="0" applyFont="1" applyNumberFormat="1"/>
    <xf borderId="8" fillId="3" fontId="8" numFmtId="0" xfId="0" applyAlignment="1" applyBorder="1" applyFont="1">
      <alignment readingOrder="0"/>
    </xf>
    <xf borderId="1" fillId="5" fontId="13" numFmtId="0" xfId="0" applyAlignment="1" applyBorder="1" applyFont="1">
      <alignment readingOrder="0"/>
    </xf>
    <xf borderId="5" fillId="5" fontId="14" numFmtId="164" xfId="0" applyAlignment="1" applyBorder="1" applyFont="1" applyNumberFormat="1">
      <alignment readingOrder="0"/>
    </xf>
    <xf borderId="5" fillId="5" fontId="14" numFmtId="0" xfId="0" applyBorder="1" applyFont="1"/>
    <xf borderId="18" fillId="4" fontId="5" numFmtId="0" xfId="0" applyAlignment="1" applyBorder="1" applyFont="1">
      <alignment readingOrder="0" vertical="center"/>
    </xf>
    <xf borderId="19" fillId="4" fontId="10" numFmtId="164" xfId="0" applyAlignment="1" applyBorder="1" applyFont="1" applyNumberFormat="1">
      <alignment vertical="center"/>
    </xf>
    <xf borderId="19" fillId="4" fontId="3" numFmtId="0" xfId="0" applyAlignment="1" applyBorder="1" applyFont="1">
      <alignment vertical="center"/>
    </xf>
    <xf borderId="19" fillId="4" fontId="8" numFmtId="0" xfId="0" applyAlignment="1" applyBorder="1" applyFont="1">
      <alignment readingOrder="0" shrinkToFit="0" vertical="center" wrapText="1"/>
    </xf>
    <xf borderId="20" fillId="4" fontId="3" numFmtId="0" xfId="0" applyBorder="1" applyFont="1"/>
    <xf borderId="21" fillId="4" fontId="5" numFmtId="0" xfId="0" applyAlignment="1" applyBorder="1" applyFont="1">
      <alignment readingOrder="0"/>
    </xf>
    <xf borderId="22" fillId="4" fontId="3" numFmtId="0" xfId="0" applyBorder="1" applyFont="1"/>
    <xf borderId="23" fillId="4" fontId="3" numFmtId="0" xfId="0" applyBorder="1" applyFont="1"/>
    <xf borderId="0" fillId="4" fontId="3" numFmtId="0" xfId="0" applyAlignment="1" applyFont="1">
      <alignment readingOrder="0"/>
    </xf>
    <xf borderId="0" fillId="4" fontId="8" numFmtId="0" xfId="0" applyAlignment="1" applyFont="1">
      <alignment readingOrder="0"/>
    </xf>
    <xf borderId="8" fillId="4" fontId="3" numFmtId="165" xfId="0" applyBorder="1" applyFont="1" applyNumberFormat="1"/>
    <xf borderId="5" fillId="4" fontId="3" numFmtId="9" xfId="0" applyAlignment="1" applyBorder="1" applyFont="1" applyNumberFormat="1">
      <alignment readingOrder="0"/>
    </xf>
    <xf borderId="5" fillId="4" fontId="3" numFmtId="0" xfId="0" applyBorder="1" applyFont="1"/>
    <xf borderId="6" fillId="4" fontId="3" numFmtId="164" xfId="0" applyBorder="1" applyFont="1" applyNumberFormat="1"/>
    <xf borderId="0" fillId="0" fontId="17" numFmtId="0" xfId="0" applyAlignment="1" applyFont="1">
      <alignment readingOrder="0"/>
    </xf>
    <xf borderId="0" fillId="0" fontId="13" numFmtId="0" xfId="0" applyAlignment="1" applyFont="1">
      <alignment readingOrder="0"/>
    </xf>
    <xf borderId="24" fillId="0" fontId="17" numFmtId="0" xfId="0" applyAlignment="1" applyBorder="1" applyFont="1">
      <alignment readingOrder="0"/>
    </xf>
    <xf borderId="25" fillId="0" fontId="2" numFmtId="0" xfId="0" applyBorder="1" applyFont="1"/>
    <xf borderId="26" fillId="0" fontId="2" numFmtId="0" xfId="0" applyBorder="1" applyFont="1"/>
    <xf borderId="7" fillId="2" fontId="4" numFmtId="0" xfId="0" applyAlignment="1" applyBorder="1" applyFont="1">
      <alignment readingOrder="0"/>
    </xf>
    <xf borderId="27" fillId="2" fontId="3" numFmtId="0" xfId="0" applyAlignment="1" applyBorder="1" applyFont="1">
      <alignment readingOrder="0"/>
    </xf>
    <xf borderId="0" fillId="2" fontId="3" numFmtId="0" xfId="0" applyFont="1"/>
    <xf borderId="0" fillId="2" fontId="3" numFmtId="0" xfId="0" applyAlignment="1" applyFont="1">
      <alignment readingOrder="0"/>
    </xf>
    <xf borderId="28" fillId="2" fontId="3" numFmtId="0" xfId="0" applyAlignment="1" applyBorder="1" applyFont="1">
      <alignment readingOrder="0"/>
    </xf>
    <xf borderId="29" fillId="2" fontId="3" numFmtId="0" xfId="0" applyAlignment="1" applyBorder="1" applyFont="1">
      <alignment readingOrder="0"/>
    </xf>
    <xf borderId="6" fillId="2" fontId="3" numFmtId="0" xfId="0" applyAlignment="1" applyBorder="1" applyFont="1">
      <alignment readingOrder="0"/>
    </xf>
    <xf borderId="7" fillId="3" fontId="18" numFmtId="0" xfId="0" applyAlignment="1" applyBorder="1" applyFont="1">
      <alignment horizontal="center" readingOrder="0"/>
    </xf>
    <xf borderId="0" fillId="3" fontId="18" numFmtId="0" xfId="0" applyAlignment="1" applyFont="1">
      <alignment horizontal="right" readingOrder="0"/>
    </xf>
    <xf borderId="8" fillId="3" fontId="18" numFmtId="0" xfId="0" applyAlignment="1" applyBorder="1" applyFont="1">
      <alignment horizontal="center" readingOrder="0"/>
    </xf>
    <xf borderId="27" fillId="3" fontId="3" numFmtId="164" xfId="0" applyAlignment="1" applyBorder="1" applyFont="1" applyNumberFormat="1">
      <alignment readingOrder="0"/>
    </xf>
    <xf borderId="29" fillId="3" fontId="3" numFmtId="164" xfId="0" applyAlignment="1" applyBorder="1" applyFont="1" applyNumberFormat="1">
      <alignment readingOrder="0"/>
    </xf>
    <xf borderId="0" fillId="3" fontId="10" numFmtId="164" xfId="0" applyAlignment="1" applyFont="1" applyNumberFormat="1">
      <alignment readingOrder="0"/>
    </xf>
    <xf borderId="8" fillId="3" fontId="8" numFmtId="164" xfId="0" applyAlignment="1" applyBorder="1" applyFont="1" applyNumberFormat="1">
      <alignment readingOrder="0"/>
    </xf>
    <xf borderId="0" fillId="0" fontId="7" numFmtId="0" xfId="0" applyAlignment="1" applyFont="1">
      <alignment readingOrder="0"/>
    </xf>
    <xf borderId="0" fillId="0" fontId="16" numFmtId="0" xfId="0" applyFont="1"/>
    <xf borderId="0" fillId="3" fontId="7" numFmtId="9" xfId="0" applyFont="1" applyNumberFormat="1"/>
    <xf borderId="0" fillId="3" fontId="10" numFmtId="164" xfId="0" applyFont="1" applyNumberFormat="1"/>
    <xf borderId="27" fillId="3" fontId="3" numFmtId="10" xfId="0" applyAlignment="1" applyBorder="1" applyFont="1" applyNumberFormat="1">
      <alignment readingOrder="0"/>
    </xf>
    <xf borderId="29" fillId="3" fontId="3" numFmtId="0" xfId="0" applyAlignment="1" applyBorder="1" applyFont="1">
      <alignment readingOrder="0"/>
    </xf>
    <xf borderId="0" fillId="4" fontId="10" numFmtId="164" xfId="0" applyAlignment="1" applyFont="1" applyNumberFormat="1">
      <alignment horizontal="right" readingOrder="0"/>
    </xf>
    <xf borderId="0" fillId="4" fontId="10" numFmtId="0" xfId="0" applyAlignment="1" applyFont="1">
      <alignment horizontal="right" readingOrder="0"/>
    </xf>
    <xf borderId="8" fillId="4" fontId="10" numFmtId="0" xfId="0" applyAlignment="1" applyBorder="1" applyFont="1">
      <alignment horizontal="right" readingOrder="0"/>
    </xf>
    <xf borderId="7" fillId="5" fontId="19" numFmtId="0" xfId="0" applyAlignment="1" applyBorder="1" applyFont="1">
      <alignment readingOrder="0" shrinkToFit="0" vertical="center" wrapText="1"/>
    </xf>
    <xf borderId="0" fillId="5" fontId="20" numFmtId="0" xfId="0" applyAlignment="1" applyFont="1">
      <alignment readingOrder="0" shrinkToFit="0" vertical="center" wrapText="1"/>
    </xf>
    <xf borderId="8" fillId="5" fontId="20" numFmtId="0" xfId="0" applyAlignment="1" applyBorder="1" applyFont="1">
      <alignment readingOrder="0" shrinkToFit="0" vertical="center" wrapText="1"/>
    </xf>
    <xf borderId="0" fillId="4" fontId="14" numFmtId="164" xfId="0" applyAlignment="1" applyFont="1" applyNumberFormat="1">
      <alignment readingOrder="0"/>
    </xf>
    <xf borderId="27" fillId="4" fontId="3" numFmtId="0" xfId="0" applyAlignment="1" applyBorder="1" applyFont="1">
      <alignment readingOrder="0"/>
    </xf>
    <xf borderId="0" fillId="4" fontId="16" numFmtId="9" xfId="0" applyAlignment="1" applyFont="1" applyNumberFormat="1">
      <alignment readingOrder="0"/>
    </xf>
    <xf borderId="8" fillId="4" fontId="14" numFmtId="164" xfId="0" applyBorder="1" applyFont="1" applyNumberFormat="1"/>
    <xf borderId="7" fillId="5" fontId="16" numFmtId="9" xfId="0" applyAlignment="1" applyBorder="1" applyFont="1" applyNumberFormat="1">
      <alignment readingOrder="0"/>
    </xf>
    <xf borderId="0" fillId="5" fontId="16" numFmtId="164" xfId="0" applyAlignment="1" applyFont="1" applyNumberFormat="1">
      <alignment readingOrder="0"/>
    </xf>
    <xf borderId="0" fillId="5" fontId="16" numFmtId="0" xfId="0" applyFont="1"/>
    <xf borderId="30" fillId="4" fontId="3" numFmtId="0" xfId="0" applyAlignment="1" applyBorder="1" applyFont="1">
      <alignment readingOrder="0"/>
    </xf>
    <xf borderId="0" fillId="5" fontId="16" numFmtId="164" xfId="0" applyFont="1" applyNumberFormat="1"/>
    <xf borderId="0" fillId="5" fontId="14" numFmtId="164" xfId="0" applyFont="1" applyNumberFormat="1"/>
    <xf borderId="0" fillId="5" fontId="16" numFmtId="164" xfId="0" applyAlignment="1" applyFont="1" applyNumberFormat="1">
      <alignment readingOrder="0"/>
    </xf>
    <xf borderId="8" fillId="5" fontId="14" numFmtId="164" xfId="0" applyBorder="1" applyFont="1" applyNumberFormat="1"/>
    <xf borderId="28" fillId="4" fontId="3" numFmtId="164" xfId="0" applyAlignment="1" applyBorder="1" applyFont="1" applyNumberFormat="1">
      <alignment readingOrder="0"/>
    </xf>
    <xf borderId="29" fillId="4" fontId="3" numFmtId="0" xfId="0" applyAlignment="1" applyBorder="1" applyFont="1">
      <alignment readingOrder="0"/>
    </xf>
    <xf borderId="0" fillId="4" fontId="16" numFmtId="9" xfId="0" applyFont="1" applyNumberFormat="1"/>
    <xf borderId="7" fillId="4" fontId="3" numFmtId="0" xfId="0" applyAlignment="1" applyBorder="1" applyFont="1">
      <alignment horizontal="center" readingOrder="0"/>
    </xf>
    <xf borderId="0" fillId="4" fontId="21" numFmtId="164" xfId="0" applyAlignment="1" applyFont="1" applyNumberFormat="1">
      <alignment horizontal="right" readingOrder="0"/>
    </xf>
    <xf borderId="8" fillId="4" fontId="8" numFmtId="9" xfId="0" applyAlignment="1" applyBorder="1" applyFont="1" applyNumberFormat="1">
      <alignment horizontal="left" readingOrder="0"/>
    </xf>
    <xf borderId="7" fillId="5" fontId="16" numFmtId="0" xfId="0" applyBorder="1" applyFont="1"/>
    <xf borderId="8" fillId="0" fontId="2" numFmtId="0" xfId="0" applyBorder="1" applyFont="1"/>
    <xf borderId="4" fillId="5" fontId="22" numFmtId="0" xfId="0" applyAlignment="1" applyBorder="1" applyFont="1">
      <alignment readingOrder="0"/>
    </xf>
    <xf borderId="5" fillId="5" fontId="22" numFmtId="0" xfId="0" applyBorder="1" applyFont="1"/>
    <xf borderId="5" fillId="5" fontId="16" numFmtId="0" xfId="0" applyBorder="1" applyFont="1"/>
    <xf borderId="27" fillId="4" fontId="3" numFmtId="164" xfId="0" applyAlignment="1" applyBorder="1" applyFont="1" applyNumberFormat="1">
      <alignment readingOrder="0"/>
    </xf>
    <xf borderId="0" fillId="4" fontId="9" numFmtId="164" xfId="0" applyFont="1" applyNumberFormat="1"/>
    <xf borderId="29" fillId="4" fontId="3" numFmtId="164" xfId="0" applyAlignment="1" applyBorder="1" applyFont="1" applyNumberFormat="1">
      <alignment readingOrder="0"/>
    </xf>
    <xf borderId="0" fillId="6" fontId="14" numFmtId="0" xfId="0" applyFill="1" applyFont="1"/>
    <xf borderId="7" fillId="4" fontId="3" numFmtId="0" xfId="0" applyAlignment="1" applyBorder="1" applyFont="1">
      <alignment horizontal="left" readingOrder="0"/>
    </xf>
    <xf borderId="28" fillId="4" fontId="3" numFmtId="164" xfId="0" applyAlignment="1" applyBorder="1" applyFont="1" applyNumberFormat="1">
      <alignment horizontal="right" readingOrder="0"/>
    </xf>
    <xf borderId="7" fillId="5" fontId="23" numFmtId="0" xfId="0" applyAlignment="1" applyBorder="1" applyFont="1">
      <alignment readingOrder="0" vertical="bottom"/>
    </xf>
    <xf borderId="0" fillId="5" fontId="24" numFmtId="0" xfId="0" applyAlignment="1" applyFont="1">
      <alignment readingOrder="0"/>
    </xf>
    <xf borderId="8" fillId="5" fontId="25" numFmtId="0" xfId="0" applyAlignment="1" applyBorder="1" applyFont="1">
      <alignment horizontal="right" readingOrder="0"/>
    </xf>
    <xf borderId="7" fillId="5" fontId="16" numFmtId="0" xfId="0" applyAlignment="1" applyBorder="1" applyFont="1">
      <alignment readingOrder="0"/>
    </xf>
    <xf borderId="0" fillId="5" fontId="26" numFmtId="164" xfId="0" applyAlignment="1" applyFont="1" applyNumberFormat="1">
      <alignment horizontal="right" vertical="bottom"/>
    </xf>
    <xf borderId="0" fillId="5" fontId="16" numFmtId="0" xfId="0" applyAlignment="1" applyFont="1">
      <alignment readingOrder="0"/>
    </xf>
    <xf borderId="0" fillId="5" fontId="14" numFmtId="164" xfId="0" applyFont="1" applyNumberFormat="1"/>
    <xf borderId="8" fillId="5" fontId="25" numFmtId="164" xfId="0" applyAlignment="1" applyBorder="1" applyFont="1" applyNumberFormat="1">
      <alignment horizontal="right" readingOrder="0"/>
    </xf>
    <xf borderId="0" fillId="4" fontId="9" numFmtId="164" xfId="0" applyAlignment="1" applyFont="1" applyNumberFormat="1">
      <alignment vertical="center"/>
    </xf>
    <xf borderId="8" fillId="5" fontId="22" numFmtId="164" xfId="0" applyAlignment="1" applyBorder="1" applyFont="1" applyNumberFormat="1">
      <alignment horizontal="right" readingOrder="0"/>
    </xf>
    <xf borderId="8" fillId="5" fontId="14" numFmtId="0" xfId="0" applyAlignment="1" applyBorder="1" applyFont="1">
      <alignment horizontal="right"/>
    </xf>
    <xf borderId="0" fillId="4" fontId="9" numFmtId="164" xfId="0" applyFont="1" applyNumberFormat="1"/>
    <xf borderId="0" fillId="4" fontId="3" numFmtId="164" xfId="0" applyFont="1" applyNumberFormat="1"/>
    <xf borderId="0" fillId="0" fontId="11" numFmtId="0" xfId="0" applyAlignment="1" applyFont="1">
      <alignment readingOrder="0" shrinkToFit="0" wrapText="0"/>
    </xf>
    <xf borderId="0" fillId="0" fontId="11" numFmtId="0" xfId="0" applyAlignment="1" applyFont="1">
      <alignment shrinkToFit="0" wrapText="0"/>
    </xf>
    <xf borderId="0" fillId="5" fontId="14" numFmtId="9" xfId="0" applyAlignment="1" applyFont="1" applyNumberFormat="1">
      <alignment readingOrder="0"/>
    </xf>
    <xf borderId="7" fillId="4" fontId="5" numFmtId="0" xfId="0" applyAlignment="1" applyBorder="1" applyFont="1">
      <alignment readingOrder="0" vertical="center"/>
    </xf>
    <xf borderId="0" fillId="4" fontId="3" numFmtId="164" xfId="0" applyAlignment="1" applyFont="1" applyNumberFormat="1">
      <alignment vertical="center"/>
    </xf>
    <xf borderId="19" fillId="0" fontId="2" numFmtId="0" xfId="0" applyBorder="1" applyFont="1"/>
    <xf borderId="20" fillId="0" fontId="2" numFmtId="0" xfId="0" applyBorder="1" applyFont="1"/>
    <xf borderId="0" fillId="0" fontId="12" numFmtId="0" xfId="0" applyAlignment="1" applyFont="1">
      <alignment shrinkToFit="0" wrapText="0"/>
    </xf>
    <xf borderId="7" fillId="5" fontId="20" numFmtId="0" xfId="0" applyAlignment="1" applyBorder="1" applyFont="1">
      <alignment readingOrder="0"/>
    </xf>
    <xf borderId="0" fillId="5" fontId="14" numFmtId="9" xfId="0" applyFont="1" applyNumberFormat="1"/>
    <xf borderId="8" fillId="4" fontId="3" numFmtId="164" xfId="0" applyBorder="1" applyFont="1" applyNumberFormat="1"/>
    <xf borderId="29" fillId="4" fontId="3" numFmtId="9" xfId="0" applyAlignment="1" applyBorder="1" applyFont="1" applyNumberFormat="1">
      <alignment readingOrder="0"/>
    </xf>
    <xf borderId="7" fillId="5" fontId="14" numFmtId="0" xfId="0" applyBorder="1" applyFont="1"/>
    <xf borderId="0" fillId="0" fontId="3" numFmtId="0" xfId="0" applyAlignment="1" applyFont="1">
      <alignment shrinkToFit="0" wrapText="0"/>
    </xf>
    <xf borderId="7" fillId="5" fontId="19" numFmtId="0" xfId="0" applyAlignment="1" applyBorder="1" applyFont="1">
      <alignment readingOrder="0"/>
    </xf>
    <xf borderId="4" fillId="5" fontId="14" numFmtId="0" xfId="0" applyAlignment="1" applyBorder="1" applyFont="1">
      <alignment horizontal="right" readingOrder="0" shrinkToFit="0" wrapText="1"/>
    </xf>
    <xf borderId="5" fillId="6" fontId="14" numFmtId="164" xfId="0" applyAlignment="1" applyBorder="1" applyFont="1" applyNumberFormat="1">
      <alignment vertical="center"/>
    </xf>
    <xf borderId="5" fillId="5" fontId="14" numFmtId="0" xfId="0" applyAlignment="1" applyBorder="1" applyFont="1">
      <alignment readingOrder="0" vertical="center"/>
    </xf>
    <xf borderId="5" fillId="5" fontId="14" numFmtId="9" xfId="0" applyAlignment="1" applyBorder="1" applyFont="1" applyNumberForma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3.63"/>
    <col customWidth="1" min="4" max="4" width="5.63"/>
    <col customWidth="1" min="5" max="5" width="21.38"/>
    <col customWidth="1" min="9" max="9" width="4.5"/>
  </cols>
  <sheetData>
    <row r="1" ht="32.25" customHeight="1">
      <c r="B1" s="1" t="s">
        <v>0</v>
      </c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B2" s="5" t="s">
        <v>1</v>
      </c>
      <c r="C2" s="6">
        <v>1000.0</v>
      </c>
      <c r="D2" s="7"/>
      <c r="E2" s="7"/>
      <c r="F2" s="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B3" s="9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B4" s="10" t="s">
        <v>2</v>
      </c>
      <c r="C4" s="11"/>
      <c r="D4" s="11"/>
      <c r="E4" s="11"/>
      <c r="F4" s="12"/>
      <c r="G4" s="1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B5" s="14" t="s">
        <v>3</v>
      </c>
      <c r="C5" s="15">
        <v>300000.0</v>
      </c>
      <c r="D5" s="16"/>
      <c r="E5" s="17">
        <f>C5/C2</f>
        <v>300</v>
      </c>
      <c r="F5" s="18" t="s">
        <v>4</v>
      </c>
      <c r="G5" s="19"/>
      <c r="H5" s="4"/>
      <c r="I5" s="1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B6" s="14" t="s">
        <v>5</v>
      </c>
      <c r="C6" s="15">
        <v>60000.0</v>
      </c>
      <c r="D6" s="20">
        <f>C6/C5</f>
        <v>0.2</v>
      </c>
      <c r="E6" s="16"/>
      <c r="F6" s="18"/>
      <c r="G6" s="19"/>
      <c r="H6" s="4"/>
      <c r="I6" s="1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B7" s="14" t="s">
        <v>6</v>
      </c>
      <c r="C7" s="17">
        <f>C5 - C6</f>
        <v>240000</v>
      </c>
      <c r="D7" s="16"/>
      <c r="E7" s="16"/>
      <c r="F7" s="2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B8" s="14" t="s">
        <v>7</v>
      </c>
      <c r="C8" s="22">
        <v>0.065</v>
      </c>
      <c r="D8" s="16"/>
      <c r="E8" s="16"/>
      <c r="F8" s="2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B9" s="23" t="s">
        <v>8</v>
      </c>
      <c r="C9" s="24">
        <v>35.0</v>
      </c>
      <c r="D9" s="25"/>
      <c r="E9" s="25"/>
      <c r="F9" s="2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B11" s="27" t="s">
        <v>9</v>
      </c>
      <c r="C11" s="28"/>
      <c r="D11" s="28"/>
      <c r="E11" s="28"/>
      <c r="F11" s="2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B12" s="30" t="s">
        <v>10</v>
      </c>
      <c r="C12" s="31">
        <v>2500.0</v>
      </c>
      <c r="D12" s="32"/>
      <c r="E12" s="32"/>
      <c r="F12" s="3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4"/>
      <c r="B13" s="35" t="s">
        <v>11</v>
      </c>
      <c r="D13" s="32"/>
      <c r="E13" s="32"/>
      <c r="F13" s="3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B14" s="36" t="s">
        <v>12</v>
      </c>
      <c r="C14" s="32"/>
      <c r="D14" s="32"/>
      <c r="E14" s="32"/>
      <c r="F14" s="3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B15" s="30" t="s">
        <v>13</v>
      </c>
      <c r="C15" s="31">
        <v>700.0</v>
      </c>
      <c r="D15" s="32"/>
      <c r="E15" s="37"/>
      <c r="F15" s="3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B16" s="39" t="s">
        <v>14</v>
      </c>
      <c r="D16" s="32"/>
      <c r="E16" s="32"/>
      <c r="F16" s="3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B17" s="40" t="s">
        <v>15</v>
      </c>
      <c r="C17" s="41">
        <f>C12 - C15</f>
        <v>1800</v>
      </c>
      <c r="D17" s="42"/>
      <c r="E17" s="43" t="str">
        <f>IF(H17, "which is enough to cover the loan!", "which is less than the loan requirement of " &amp; TEXT(F23, "$0"))</f>
        <v>which is enough to cover the loan!</v>
      </c>
      <c r="F17" s="33"/>
      <c r="G17" s="44" t="s">
        <v>16</v>
      </c>
      <c r="H17" s="45" t="b">
        <f>C17 &gt; F23</f>
        <v>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B18" s="39" t="s">
        <v>17</v>
      </c>
      <c r="D18" s="32"/>
      <c r="E18" s="32"/>
      <c r="F18" s="33"/>
      <c r="G18" s="45"/>
      <c r="H18" s="4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B19" s="46" t="s">
        <v>18</v>
      </c>
      <c r="C19" s="47">
        <f>-PMT(C8/12, C9*12, C7)</f>
        <v>1449.970363</v>
      </c>
      <c r="D19" s="32"/>
      <c r="E19" s="32"/>
      <c r="F19" s="33"/>
      <c r="G19" s="48"/>
      <c r="H19" s="4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B20" s="39" t="s">
        <v>14</v>
      </c>
      <c r="D20" s="32"/>
      <c r="E20" s="32"/>
      <c r="F20" s="33"/>
      <c r="G20" s="45"/>
      <c r="H20" s="4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B21" s="49" t="s">
        <v>19</v>
      </c>
      <c r="C21" s="50">
        <f>C17 - C19</f>
        <v>350.029637</v>
      </c>
      <c r="D21" s="51"/>
      <c r="E21" s="52"/>
      <c r="F21" s="53"/>
      <c r="G21" s="44"/>
      <c r="H21" s="4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B22" s="54" t="s">
        <v>20</v>
      </c>
      <c r="C22" s="55"/>
      <c r="D22" s="55"/>
      <c r="E22" s="55"/>
      <c r="F22" s="5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57" t="s">
        <v>21</v>
      </c>
      <c r="C23" s="58">
        <v>1.2</v>
      </c>
      <c r="D23" s="59"/>
      <c r="E23" s="60" t="s">
        <v>22</v>
      </c>
      <c r="F23" s="61">
        <f>C19*C23</f>
        <v>1739.964436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5">
    <mergeCell ref="B1:F1"/>
    <mergeCell ref="B13:C13"/>
    <mergeCell ref="B16:C16"/>
    <mergeCell ref="B18:C18"/>
    <mergeCell ref="B20:C20"/>
  </mergeCells>
  <conditionalFormatting sqref="B17:F17">
    <cfRule type="expression" dxfId="0" priority="1">
      <formula>NOT($H$17)</formula>
    </cfRule>
  </conditionalFormatting>
  <conditionalFormatting sqref="B21:F21">
    <cfRule type="expression" dxfId="0" priority="2">
      <formula>$C$21 &lt; 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3.63"/>
    <col customWidth="1" min="4" max="4" width="5.63"/>
    <col customWidth="1" min="5" max="5" width="21.38"/>
    <col customWidth="1" min="8" max="8" width="14.5"/>
    <col customWidth="1" min="9" max="9" width="10.0"/>
    <col customWidth="1" min="10" max="10" width="4.25"/>
  </cols>
  <sheetData>
    <row r="1" ht="32.25" customHeight="1">
      <c r="B1" s="1" t="s">
        <v>0</v>
      </c>
      <c r="C1" s="2"/>
      <c r="D1" s="2"/>
      <c r="E1" s="2"/>
      <c r="F1" s="3"/>
      <c r="G1" s="4"/>
      <c r="H1" s="62" t="s">
        <v>23</v>
      </c>
      <c r="I1" s="63"/>
      <c r="J1" s="63"/>
      <c r="K1" s="63"/>
      <c r="L1" s="6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B2" s="5" t="s">
        <v>1</v>
      </c>
      <c r="C2" s="6">
        <v>800.0</v>
      </c>
      <c r="D2" s="7"/>
      <c r="E2" s="7"/>
      <c r="F2" s="8"/>
      <c r="G2" s="4"/>
      <c r="H2" s="65"/>
      <c r="I2" s="65"/>
      <c r="J2" s="65"/>
      <c r="K2" s="65"/>
      <c r="L2" s="6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B3" s="9"/>
      <c r="C3" s="4"/>
      <c r="D3" s="4"/>
      <c r="E3" s="4"/>
      <c r="F3" s="4"/>
      <c r="G3" s="4"/>
      <c r="H3" s="65"/>
      <c r="I3" s="65"/>
      <c r="J3" s="65"/>
      <c r="K3" s="65"/>
      <c r="L3" s="6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B4" s="10" t="s">
        <v>2</v>
      </c>
      <c r="C4" s="11"/>
      <c r="D4" s="11"/>
      <c r="E4" s="11"/>
      <c r="F4" s="12"/>
      <c r="H4" s="66" t="s">
        <v>24</v>
      </c>
      <c r="I4" s="67"/>
      <c r="J4" s="67"/>
      <c r="K4" s="68"/>
      <c r="L4" s="6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B5" s="14" t="s">
        <v>25</v>
      </c>
      <c r="C5" s="15">
        <v>5000.0</v>
      </c>
      <c r="D5" s="16"/>
      <c r="E5" s="16"/>
      <c r="F5" s="21"/>
      <c r="H5" s="70" t="s">
        <v>26</v>
      </c>
      <c r="I5" s="71">
        <v>200000.0</v>
      </c>
      <c r="J5" s="72" t="s">
        <v>27</v>
      </c>
      <c r="K5" s="71">
        <v>3000000.0</v>
      </c>
      <c r="L5" s="73" t="s">
        <v>28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B6" s="14" t="s">
        <v>29</v>
      </c>
      <c r="C6" s="15">
        <v>245000.0</v>
      </c>
      <c r="D6" s="16"/>
      <c r="E6" s="16"/>
      <c r="F6" s="21"/>
      <c r="H6" s="70" t="s">
        <v>30</v>
      </c>
      <c r="I6" s="72">
        <v>100.0</v>
      </c>
      <c r="J6" s="74"/>
      <c r="K6" s="74"/>
      <c r="L6" s="75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B7" s="14" t="s">
        <v>3</v>
      </c>
      <c r="C7" s="15">
        <f>C5+C6</f>
        <v>250000</v>
      </c>
      <c r="D7" s="16"/>
      <c r="E7" s="17">
        <f>C7/C2</f>
        <v>312.5</v>
      </c>
      <c r="F7" s="18" t="s">
        <v>31</v>
      </c>
      <c r="H7" s="76" t="s">
        <v>32</v>
      </c>
      <c r="I7" s="77">
        <f>I5/I6</f>
        <v>2000</v>
      </c>
      <c r="J7" s="78" t="s">
        <v>27</v>
      </c>
      <c r="K7" s="77">
        <f>K5/I6</f>
        <v>30000</v>
      </c>
      <c r="L7" s="7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B8" s="14" t="s">
        <v>5</v>
      </c>
      <c r="C8" s="15">
        <v>60000.0</v>
      </c>
      <c r="D8" s="80"/>
      <c r="E8" s="81">
        <f>C8/C7</f>
        <v>0.24</v>
      </c>
      <c r="F8" s="82" t="s">
        <v>33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B9" s="14" t="s">
        <v>34</v>
      </c>
      <c r="C9" s="15">
        <v>0.0</v>
      </c>
      <c r="D9" s="16"/>
      <c r="E9" s="16"/>
      <c r="F9" s="21"/>
      <c r="G9" s="4"/>
      <c r="H9" s="83" t="s">
        <v>35</v>
      </c>
      <c r="I9" s="68"/>
      <c r="J9" s="68"/>
      <c r="K9" s="68"/>
      <c r="L9" s="6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B10" s="14" t="s">
        <v>6</v>
      </c>
      <c r="C10" s="17">
        <f>C7 - C8 - C9</f>
        <v>190000</v>
      </c>
      <c r="D10" s="16"/>
      <c r="E10" s="16"/>
      <c r="F10" s="21"/>
      <c r="G10" s="4"/>
      <c r="H10" s="70" t="s">
        <v>36</v>
      </c>
      <c r="I10" s="71">
        <v>260.0</v>
      </c>
      <c r="J10" s="74"/>
      <c r="K10" s="74"/>
      <c r="L10" s="7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B11" s="14" t="s">
        <v>7</v>
      </c>
      <c r="C11" s="22">
        <v>0.065</v>
      </c>
      <c r="D11" s="16"/>
      <c r="E11" s="16"/>
      <c r="F11" s="21"/>
      <c r="G11" s="4"/>
      <c r="H11" s="70" t="s">
        <v>37</v>
      </c>
      <c r="I11" s="71">
        <v>300.0</v>
      </c>
      <c r="J11" s="74"/>
      <c r="K11" s="74"/>
      <c r="L11" s="7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B12" s="23" t="s">
        <v>8</v>
      </c>
      <c r="C12" s="24">
        <v>35.0</v>
      </c>
      <c r="D12" s="25"/>
      <c r="E12" s="25"/>
      <c r="F12" s="26"/>
      <c r="G12" s="4"/>
      <c r="H12" s="70" t="s">
        <v>38</v>
      </c>
      <c r="I12" s="71">
        <v>400.0</v>
      </c>
      <c r="J12" s="74"/>
      <c r="K12" s="74"/>
      <c r="L12" s="7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B13" s="4"/>
      <c r="C13" s="4"/>
      <c r="D13" s="4"/>
      <c r="E13" s="4"/>
      <c r="F13" s="4"/>
      <c r="G13" s="4"/>
      <c r="H13" s="76" t="s">
        <v>39</v>
      </c>
      <c r="I13" s="84">
        <v>500.0</v>
      </c>
      <c r="J13" s="85"/>
      <c r="K13" s="85"/>
      <c r="L13" s="7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B14" s="27" t="s">
        <v>9</v>
      </c>
      <c r="C14" s="28"/>
      <c r="D14" s="28"/>
      <c r="E14" s="28"/>
      <c r="F14" s="2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B15" s="30" t="s">
        <v>10</v>
      </c>
      <c r="C15" s="31">
        <v>2200.0</v>
      </c>
      <c r="D15" s="32"/>
      <c r="E15" s="32"/>
      <c r="F15" s="3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B16" s="30" t="s">
        <v>40</v>
      </c>
      <c r="C16" s="31">
        <v>0.0</v>
      </c>
      <c r="D16" s="32"/>
      <c r="E16" s="32"/>
      <c r="F16" s="3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4"/>
      <c r="B17" s="35" t="s">
        <v>11</v>
      </c>
      <c r="D17" s="32"/>
      <c r="E17" s="32"/>
      <c r="F17" s="3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B18" s="36" t="s">
        <v>12</v>
      </c>
      <c r="C18" s="32"/>
      <c r="D18" s="32"/>
      <c r="E18" s="32"/>
      <c r="F18" s="3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B19" s="30" t="s">
        <v>13</v>
      </c>
      <c r="C19" s="31">
        <v>400.0</v>
      </c>
      <c r="D19" s="32"/>
      <c r="E19" s="37"/>
      <c r="F19" s="3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B20" s="30" t="s">
        <v>41</v>
      </c>
      <c r="C20" s="31">
        <v>250.0</v>
      </c>
      <c r="D20" s="32"/>
      <c r="E20" s="32"/>
      <c r="F20" s="3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B21" s="39" t="s">
        <v>14</v>
      </c>
      <c r="D21" s="32"/>
      <c r="E21" s="32"/>
      <c r="F21" s="3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B22" s="40" t="s">
        <v>15</v>
      </c>
      <c r="C22" s="41">
        <f>C15 - C19 - C20 + C16</f>
        <v>1550</v>
      </c>
      <c r="D22" s="42"/>
      <c r="E22" s="43" t="str">
        <f>IF(H22, "which is enough to cover the loan!", "which is less than the loan requirement of " &amp; TEXT(F28, "$0"))</f>
        <v>which is enough to cover the loan!</v>
      </c>
      <c r="F22" s="33"/>
      <c r="G22" s="44" t="s">
        <v>16</v>
      </c>
      <c r="H22" s="45" t="b">
        <f>C22 &gt; F28</f>
        <v>1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B23" s="39" t="s">
        <v>17</v>
      </c>
      <c r="D23" s="32"/>
      <c r="E23" s="32"/>
      <c r="F23" s="33"/>
      <c r="G23" s="45"/>
      <c r="H23" s="4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B24" s="46" t="s">
        <v>18</v>
      </c>
      <c r="C24" s="47">
        <f>-PMT(C11/12, C12*12, C10)</f>
        <v>1147.893204</v>
      </c>
      <c r="D24" s="32"/>
      <c r="E24" s="32"/>
      <c r="F24" s="33"/>
      <c r="G24" s="48"/>
      <c r="H24" s="4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B25" s="39" t="s">
        <v>14</v>
      </c>
      <c r="D25" s="32"/>
      <c r="E25" s="32"/>
      <c r="F25" s="33"/>
      <c r="G25" s="45"/>
      <c r="H25" s="4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B26" s="86" t="s">
        <v>19</v>
      </c>
      <c r="C26" s="87">
        <f>C22 - C24</f>
        <v>402.106796</v>
      </c>
      <c r="D26" s="88"/>
      <c r="E26" s="89" t="str">
        <f>IF(H26, "which is enough return for the developer!", "which is less than the hurdle rate requirement of " &amp; TEXT(F29, "$0"))</f>
        <v>which is enough return for the developer!</v>
      </c>
      <c r="F26" s="90"/>
      <c r="G26" s="44" t="s">
        <v>42</v>
      </c>
      <c r="H26" s="45" t="b">
        <f>C26 &gt; F29</f>
        <v>1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B27" s="91" t="s">
        <v>20</v>
      </c>
      <c r="C27" s="92"/>
      <c r="D27" s="92"/>
      <c r="E27" s="92"/>
      <c r="F27" s="9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30" t="s">
        <v>21</v>
      </c>
      <c r="C28" s="94">
        <v>1.2</v>
      </c>
      <c r="D28" s="37"/>
      <c r="E28" s="95" t="s">
        <v>22</v>
      </c>
      <c r="F28" s="96">
        <f>C24*C28</f>
        <v>1377.471845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57" t="s">
        <v>43</v>
      </c>
      <c r="C29" s="97">
        <v>0.08</v>
      </c>
      <c r="D29" s="98"/>
      <c r="E29" s="60" t="s">
        <v>44</v>
      </c>
      <c r="F29" s="99">
        <f>C8*C29/12</f>
        <v>400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5">
    <mergeCell ref="B1:F1"/>
    <mergeCell ref="B17:C17"/>
    <mergeCell ref="B21:C21"/>
    <mergeCell ref="B23:C23"/>
    <mergeCell ref="B25:C25"/>
  </mergeCells>
  <conditionalFormatting sqref="B22:F22">
    <cfRule type="expression" dxfId="0" priority="1">
      <formula>NOT($H$22)</formula>
    </cfRule>
  </conditionalFormatting>
  <conditionalFormatting sqref="B26:F26">
    <cfRule type="expression" dxfId="0" priority="2">
      <formula>NOT($H$26)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13"/>
    <col customWidth="1" min="4" max="4" width="7.13"/>
    <col customWidth="1" min="5" max="5" width="21.38"/>
    <col customWidth="1" min="8" max="8" width="15.38"/>
    <col customWidth="1" min="9" max="9" width="10.0"/>
    <col customWidth="1" min="10" max="10" width="4.25"/>
  </cols>
  <sheetData>
    <row r="1" ht="6.0" customHeight="1">
      <c r="B1" s="100"/>
      <c r="C1" s="100"/>
      <c r="D1" s="100"/>
      <c r="E1" s="100"/>
      <c r="F1" s="100"/>
      <c r="G1" s="4"/>
      <c r="H1" s="101"/>
      <c r="I1" s="65"/>
      <c r="J1" s="65"/>
      <c r="K1" s="65"/>
      <c r="L1" s="65"/>
      <c r="M1" s="65"/>
      <c r="N1" s="6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B2" s="102" t="s">
        <v>45</v>
      </c>
      <c r="C2" s="103"/>
      <c r="D2" s="103"/>
      <c r="E2" s="103"/>
      <c r="F2" s="104"/>
      <c r="G2" s="4"/>
      <c r="H2" s="101"/>
      <c r="I2" s="65"/>
      <c r="J2" s="65"/>
      <c r="K2" s="65"/>
      <c r="L2" s="65"/>
      <c r="M2" s="65"/>
      <c r="N2" s="6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B3" s="9"/>
      <c r="C3" s="9"/>
      <c r="D3" s="9"/>
      <c r="E3" s="9"/>
      <c r="F3" s="9"/>
      <c r="G3" s="4"/>
      <c r="H3" s="101"/>
      <c r="I3" s="65"/>
      <c r="J3" s="65"/>
      <c r="K3" s="65"/>
      <c r="L3" s="65"/>
      <c r="M3" s="65"/>
      <c r="N3" s="6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B4" s="1" t="s">
        <v>46</v>
      </c>
      <c r="C4" s="2"/>
      <c r="D4" s="2"/>
      <c r="E4" s="2"/>
      <c r="F4" s="3"/>
      <c r="G4" s="4"/>
      <c r="H4" s="62" t="s">
        <v>23</v>
      </c>
      <c r="I4" s="63"/>
      <c r="J4" s="63"/>
      <c r="K4" s="63"/>
      <c r="L4" s="63"/>
      <c r="M4" s="63"/>
      <c r="N4" s="6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B5" s="105" t="s">
        <v>47</v>
      </c>
      <c r="C5" s="106">
        <v>100.0</v>
      </c>
      <c r="D5" s="107"/>
      <c r="E5" s="108" t="s">
        <v>48</v>
      </c>
      <c r="F5" s="109">
        <v>1000.0</v>
      </c>
      <c r="G5" s="4"/>
      <c r="H5" s="65"/>
      <c r="I5" s="65"/>
      <c r="J5" s="65"/>
      <c r="K5" s="65"/>
      <c r="L5" s="65"/>
      <c r="M5" s="65"/>
      <c r="N5" s="6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B6" s="5" t="s">
        <v>49</v>
      </c>
      <c r="C6" s="110">
        <v>2.0</v>
      </c>
      <c r="D6" s="7"/>
      <c r="E6" s="6"/>
      <c r="F6" s="111"/>
      <c r="G6" s="4"/>
      <c r="H6" s="65"/>
      <c r="I6" s="65"/>
      <c r="J6" s="65"/>
      <c r="K6" s="65"/>
      <c r="L6" s="65"/>
      <c r="M6" s="65"/>
      <c r="N6" s="6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B7" s="9"/>
      <c r="C7" s="4"/>
      <c r="D7" s="4"/>
      <c r="E7" s="4"/>
      <c r="F7" s="4"/>
      <c r="G7" s="4"/>
      <c r="H7" s="65"/>
      <c r="I7" s="65"/>
      <c r="J7" s="65"/>
      <c r="K7" s="65"/>
      <c r="L7" s="65"/>
      <c r="M7" s="65"/>
      <c r="N7" s="6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B8" s="10" t="s">
        <v>2</v>
      </c>
      <c r="C8" s="11"/>
      <c r="D8" s="11"/>
      <c r="E8" s="11"/>
      <c r="F8" s="12"/>
      <c r="H8" s="66" t="s">
        <v>24</v>
      </c>
      <c r="I8" s="67"/>
      <c r="J8" s="67"/>
      <c r="K8" s="68"/>
      <c r="L8" s="69"/>
      <c r="M8" s="65"/>
      <c r="N8" s="6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B9" s="112" t="s">
        <v>50</v>
      </c>
      <c r="D9" s="16"/>
      <c r="E9" s="113" t="s">
        <v>51</v>
      </c>
      <c r="F9" s="114" t="s">
        <v>31</v>
      </c>
      <c r="H9" s="70" t="s">
        <v>26</v>
      </c>
      <c r="I9" s="71">
        <v>200000.0</v>
      </c>
      <c r="J9" s="72" t="s">
        <v>27</v>
      </c>
      <c r="K9" s="71">
        <v>3000000.0</v>
      </c>
      <c r="L9" s="73" t="s">
        <v>28</v>
      </c>
      <c r="M9" s="65"/>
      <c r="N9" s="6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B10" s="14" t="s">
        <v>25</v>
      </c>
      <c r="C10" s="115">
        <v>300000.0</v>
      </c>
      <c r="D10" s="16"/>
      <c r="E10" s="17">
        <f t="shared" ref="E10:E15" si="1">C10/C$5</f>
        <v>3000</v>
      </c>
      <c r="F10" s="21"/>
      <c r="H10" s="70" t="s">
        <v>30</v>
      </c>
      <c r="I10" s="72">
        <v>100.0</v>
      </c>
      <c r="J10" s="74"/>
      <c r="K10" s="74"/>
      <c r="L10" s="75"/>
      <c r="M10" s="65"/>
      <c r="N10" s="6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B11" s="14" t="s">
        <v>29</v>
      </c>
      <c r="C11" s="116">
        <v>2.5E7</v>
      </c>
      <c r="D11" s="16"/>
      <c r="E11" s="17">
        <f t="shared" si="1"/>
        <v>250000</v>
      </c>
      <c r="F11" s="21"/>
      <c r="H11" s="76" t="s">
        <v>32</v>
      </c>
      <c r="I11" s="77">
        <f>I9/I10</f>
        <v>2000</v>
      </c>
      <c r="J11" s="78" t="s">
        <v>27</v>
      </c>
      <c r="K11" s="77">
        <f>K9/I10</f>
        <v>30000</v>
      </c>
      <c r="L11" s="79"/>
      <c r="M11" s="65"/>
      <c r="N11" s="6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B12" s="14" t="s">
        <v>3</v>
      </c>
      <c r="C12" s="117">
        <f>C10+C11</f>
        <v>25300000</v>
      </c>
      <c r="D12" s="16"/>
      <c r="E12" s="17">
        <f t="shared" si="1"/>
        <v>253000</v>
      </c>
      <c r="F12" s="118">
        <f>E12/F$5</f>
        <v>253</v>
      </c>
      <c r="G12" s="119"/>
      <c r="H12" s="120"/>
      <c r="I12" s="120"/>
      <c r="J12" s="120"/>
      <c r="K12" s="120"/>
      <c r="L12" s="120"/>
      <c r="M12" s="65"/>
      <c r="N12" s="6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B13" s="14" t="s">
        <v>5</v>
      </c>
      <c r="C13" s="115">
        <v>5000000.0</v>
      </c>
      <c r="D13" s="121">
        <f>C13/C12</f>
        <v>0.1976284585</v>
      </c>
      <c r="E13" s="17">
        <f t="shared" si="1"/>
        <v>50000</v>
      </c>
      <c r="F13" s="82"/>
      <c r="G13" s="4"/>
      <c r="H13" s="83" t="s">
        <v>35</v>
      </c>
      <c r="I13" s="68"/>
      <c r="J13" s="68"/>
      <c r="K13" s="68"/>
      <c r="L13" s="69"/>
      <c r="M13" s="65"/>
      <c r="N13" s="6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B14" s="14" t="s">
        <v>34</v>
      </c>
      <c r="C14" s="116">
        <v>0.0</v>
      </c>
      <c r="D14" s="16"/>
      <c r="E14" s="17">
        <f t="shared" si="1"/>
        <v>0</v>
      </c>
      <c r="F14" s="21"/>
      <c r="G14" s="4"/>
      <c r="H14" s="70" t="s">
        <v>36</v>
      </c>
      <c r="I14" s="71">
        <v>220.0</v>
      </c>
      <c r="J14" s="74"/>
      <c r="K14" s="74"/>
      <c r="L14" s="75"/>
      <c r="M14" s="65"/>
      <c r="N14" s="6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B15" s="14" t="s">
        <v>6</v>
      </c>
      <c r="C15" s="122">
        <f>C12 - C13 - C14</f>
        <v>20300000</v>
      </c>
      <c r="D15" s="16"/>
      <c r="E15" s="17">
        <f t="shared" si="1"/>
        <v>203000</v>
      </c>
      <c r="F15" s="21"/>
      <c r="G15" s="4"/>
      <c r="H15" s="70" t="s">
        <v>37</v>
      </c>
      <c r="I15" s="71">
        <v>300.0</v>
      </c>
      <c r="J15" s="74"/>
      <c r="K15" s="74"/>
      <c r="L15" s="75"/>
      <c r="M15" s="65"/>
      <c r="N15" s="6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B16" s="14" t="s">
        <v>7</v>
      </c>
      <c r="C16" s="123">
        <v>0.065</v>
      </c>
      <c r="D16" s="16"/>
      <c r="E16" s="16"/>
      <c r="F16" s="21"/>
      <c r="G16" s="4"/>
      <c r="H16" s="70" t="s">
        <v>38</v>
      </c>
      <c r="I16" s="71">
        <v>400.0</v>
      </c>
      <c r="J16" s="74"/>
      <c r="K16" s="74"/>
      <c r="L16" s="75"/>
      <c r="M16" s="65"/>
      <c r="N16" s="6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B17" s="23" t="s">
        <v>8</v>
      </c>
      <c r="C17" s="124">
        <v>35.0</v>
      </c>
      <c r="D17" s="25"/>
      <c r="E17" s="25"/>
      <c r="F17" s="26"/>
      <c r="G17" s="4"/>
      <c r="H17" s="76" t="s">
        <v>39</v>
      </c>
      <c r="I17" s="84">
        <v>500.0</v>
      </c>
      <c r="J17" s="85"/>
      <c r="K17" s="85"/>
      <c r="L17" s="79"/>
      <c r="M17" s="65"/>
      <c r="N17" s="6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B18" s="4"/>
      <c r="C18" s="4"/>
      <c r="D18" s="4"/>
      <c r="E18" s="4"/>
      <c r="F18" s="4"/>
      <c r="G18" s="4"/>
      <c r="H18" s="120"/>
      <c r="I18" s="120"/>
      <c r="J18" s="120"/>
      <c r="K18" s="120"/>
      <c r="L18" s="120"/>
      <c r="M18" s="120"/>
      <c r="N18" s="120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B19" s="27" t="s">
        <v>9</v>
      </c>
      <c r="C19" s="28"/>
      <c r="D19" s="28"/>
      <c r="E19" s="28"/>
      <c r="F19" s="29"/>
      <c r="G19" s="4"/>
      <c r="H19" s="66" t="s">
        <v>52</v>
      </c>
      <c r="I19" s="67"/>
      <c r="J19" s="67"/>
      <c r="K19" s="67"/>
      <c r="L19" s="67"/>
      <c r="M19" s="67"/>
      <c r="N19" s="69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B20" s="30"/>
      <c r="C20" s="125" t="s">
        <v>53</v>
      </c>
      <c r="D20" s="126" t="s">
        <v>54</v>
      </c>
      <c r="E20" s="126" t="s">
        <v>55</v>
      </c>
      <c r="F20" s="127" t="s">
        <v>56</v>
      </c>
      <c r="G20" s="4"/>
      <c r="H20" s="128" t="s">
        <v>57</v>
      </c>
      <c r="I20" s="129" t="s">
        <v>58</v>
      </c>
      <c r="J20" s="129" t="s">
        <v>59</v>
      </c>
      <c r="L20" s="129" t="s">
        <v>60</v>
      </c>
      <c r="M20" s="129" t="s">
        <v>61</v>
      </c>
      <c r="N20" s="130" t="s">
        <v>10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B21" s="30" t="s">
        <v>62</v>
      </c>
      <c r="C21" s="131">
        <f t="shared" ref="C21:C23" si="2">N22</f>
        <v>618.8</v>
      </c>
      <c r="D21" s="132">
        <v>0.0</v>
      </c>
      <c r="E21" s="133">
        <v>0.02</v>
      </c>
      <c r="F21" s="134">
        <f t="shared" ref="F21:F24" si="3">C21*D21*(1-E21)</f>
        <v>0</v>
      </c>
      <c r="G21" s="4"/>
      <c r="H21" s="135">
        <v>1.0</v>
      </c>
      <c r="I21" s="136">
        <v>119800.0</v>
      </c>
      <c r="J21" s="137"/>
      <c r="L21" s="74"/>
      <c r="M21" s="137"/>
      <c r="N21" s="75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B22" s="30" t="s">
        <v>63</v>
      </c>
      <c r="C22" s="131">
        <f t="shared" si="2"/>
        <v>1337.6</v>
      </c>
      <c r="D22" s="138">
        <v>0.0</v>
      </c>
      <c r="E22" s="133">
        <v>0.05</v>
      </c>
      <c r="F22" s="134">
        <f t="shared" si="3"/>
        <v>0</v>
      </c>
      <c r="G22" s="4"/>
      <c r="H22" s="135">
        <v>0.3</v>
      </c>
      <c r="I22" s="139">
        <f t="shared" ref="I22:I24" si="4">I$21*H22</f>
        <v>35940</v>
      </c>
      <c r="J22" s="139">
        <f t="shared" ref="J22:J24" si="5">I22*0.3/12</f>
        <v>898.5</v>
      </c>
      <c r="L22" s="140">
        <f t="shared" ref="L22:L24" si="6">J22*K$26</f>
        <v>718.8</v>
      </c>
      <c r="M22" s="141">
        <v>100.0</v>
      </c>
      <c r="N22" s="142">
        <f t="shared" ref="N22:N24" si="7">L22 - M22</f>
        <v>618.8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B23" s="30" t="s">
        <v>64</v>
      </c>
      <c r="C23" s="131">
        <f t="shared" si="2"/>
        <v>1816.8</v>
      </c>
      <c r="D23" s="138">
        <v>0.0</v>
      </c>
      <c r="E23" s="133">
        <v>0.1</v>
      </c>
      <c r="F23" s="134">
        <f t="shared" si="3"/>
        <v>0</v>
      </c>
      <c r="G23" s="4"/>
      <c r="H23" s="135">
        <v>0.6</v>
      </c>
      <c r="I23" s="139">
        <f t="shared" si="4"/>
        <v>71880</v>
      </c>
      <c r="J23" s="139">
        <f t="shared" si="5"/>
        <v>1797</v>
      </c>
      <c r="L23" s="140">
        <f t="shared" si="6"/>
        <v>1437.6</v>
      </c>
      <c r="M23" s="141">
        <v>100.0</v>
      </c>
      <c r="N23" s="142">
        <f t="shared" si="7"/>
        <v>1337.6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B24" s="30" t="s">
        <v>65</v>
      </c>
      <c r="C24" s="143">
        <v>2600.0</v>
      </c>
      <c r="D24" s="144">
        <v>100.0</v>
      </c>
      <c r="E24" s="145">
        <f>K45</f>
        <v>0.1933140782</v>
      </c>
      <c r="F24" s="134">
        <f t="shared" si="3"/>
        <v>209738.3397</v>
      </c>
      <c r="G24" s="4"/>
      <c r="H24" s="135">
        <v>0.8</v>
      </c>
      <c r="I24" s="139">
        <f t="shared" si="4"/>
        <v>95840</v>
      </c>
      <c r="J24" s="139">
        <f t="shared" si="5"/>
        <v>2396</v>
      </c>
      <c r="L24" s="140">
        <f t="shared" si="6"/>
        <v>1916.8</v>
      </c>
      <c r="M24" s="141">
        <v>100.0</v>
      </c>
      <c r="N24" s="142">
        <f t="shared" si="7"/>
        <v>1816.8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B25" s="146" t="s">
        <v>66</v>
      </c>
      <c r="E25" s="147">
        <f>SUM(F21:F24)</f>
        <v>209738.3397</v>
      </c>
      <c r="F25" s="148"/>
      <c r="G25" s="4"/>
      <c r="H25" s="149"/>
      <c r="I25" s="137"/>
      <c r="J25" s="137"/>
      <c r="K25" s="137"/>
      <c r="L25" s="137"/>
      <c r="M25" s="74"/>
      <c r="N25" s="7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4"/>
      <c r="B26" s="35" t="s">
        <v>11</v>
      </c>
      <c r="F26" s="150"/>
      <c r="G26" s="4"/>
      <c r="H26" s="151" t="s">
        <v>67</v>
      </c>
      <c r="I26" s="152"/>
      <c r="J26" s="152"/>
      <c r="K26" s="152">
        <f>0.7 + (C6-1)*0.1</f>
        <v>0.8</v>
      </c>
      <c r="L26" s="153"/>
      <c r="M26" s="85"/>
      <c r="N26" s="79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4"/>
      <c r="B27" s="36" t="s">
        <v>12</v>
      </c>
      <c r="C27" s="126" t="s">
        <v>68</v>
      </c>
      <c r="D27" s="32"/>
      <c r="E27" s="126" t="s">
        <v>56</v>
      </c>
      <c r="F27" s="33"/>
      <c r="G27" s="4"/>
      <c r="H27" s="120"/>
      <c r="I27" s="120"/>
      <c r="J27" s="120"/>
      <c r="K27" s="120"/>
      <c r="L27" s="120"/>
      <c r="M27" s="65"/>
      <c r="N27" s="6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4"/>
      <c r="B28" s="30" t="s">
        <v>13</v>
      </c>
      <c r="C28" s="154">
        <v>500.0</v>
      </c>
      <c r="D28" s="32"/>
      <c r="E28" s="155">
        <f t="shared" ref="E28:E29" si="8">C28*C$5</f>
        <v>50000</v>
      </c>
      <c r="F28" s="38"/>
      <c r="G28" s="4"/>
      <c r="H28" s="120"/>
      <c r="I28" s="120"/>
      <c r="J28" s="120"/>
      <c r="K28" s="120"/>
      <c r="L28" s="120"/>
      <c r="M28" s="65"/>
      <c r="N28" s="6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4"/>
      <c r="B29" s="30" t="s">
        <v>41</v>
      </c>
      <c r="C29" s="156">
        <v>250.0</v>
      </c>
      <c r="D29" s="32"/>
      <c r="E29" s="155">
        <f t="shared" si="8"/>
        <v>25000</v>
      </c>
      <c r="F29" s="33"/>
      <c r="G29" s="4"/>
      <c r="H29" s="66" t="s">
        <v>69</v>
      </c>
      <c r="I29" s="67"/>
      <c r="J29" s="67"/>
      <c r="K29" s="67"/>
      <c r="L29" s="67"/>
      <c r="M29" s="67"/>
      <c r="N29" s="69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B30" s="35" t="s">
        <v>70</v>
      </c>
      <c r="F30" s="150"/>
      <c r="G30" s="4"/>
      <c r="H30" s="70" t="s">
        <v>71</v>
      </c>
      <c r="I30" s="74"/>
      <c r="J30" s="74"/>
      <c r="K30" s="157">
        <f>IF(C6 &lt;= 2, C6 - 0.5, C6 - 1)</f>
        <v>1.5</v>
      </c>
      <c r="L30" s="74"/>
      <c r="M30" s="137"/>
      <c r="N30" s="73" t="s">
        <v>72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B31" s="158" t="s">
        <v>73</v>
      </c>
      <c r="C31" s="159">
        <v>0.0</v>
      </c>
      <c r="D31" s="32"/>
      <c r="E31" s="155">
        <f>C31*C$5</f>
        <v>0</v>
      </c>
      <c r="F31" s="33"/>
      <c r="G31" s="4"/>
      <c r="H31" s="160" t="s">
        <v>74</v>
      </c>
      <c r="I31" s="74"/>
      <c r="J31" s="74"/>
      <c r="K31" s="137"/>
      <c r="L31" s="74"/>
      <c r="M31" s="161" t="s">
        <v>75</v>
      </c>
      <c r="N31" s="162" t="s">
        <v>76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B32" s="39" t="s">
        <v>14</v>
      </c>
      <c r="F32" s="150"/>
      <c r="G32" s="4"/>
      <c r="H32" s="163" t="s">
        <v>77</v>
      </c>
      <c r="I32" s="164">
        <v>1624.0</v>
      </c>
      <c r="J32" s="74"/>
      <c r="K32" s="137"/>
      <c r="L32" s="165">
        <v>0.0</v>
      </c>
      <c r="M32" s="166">
        <f>N32 + L32^2 * N$34</f>
        <v>1600</v>
      </c>
      <c r="N32" s="167">
        <v>1600.0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B33" s="40" t="s">
        <v>15</v>
      </c>
      <c r="C33" s="168">
        <f>E33/C$5</f>
        <v>1347.383397</v>
      </c>
      <c r="D33" s="42"/>
      <c r="E33" s="41">
        <f>E25 - E28 - E29 + E31</f>
        <v>134738.3397</v>
      </c>
      <c r="F33" s="33"/>
      <c r="G33" s="4"/>
      <c r="H33" s="163" t="s">
        <v>78</v>
      </c>
      <c r="I33" s="164">
        <v>1730.0</v>
      </c>
      <c r="J33" s="74"/>
      <c r="K33" s="137"/>
      <c r="L33" s="165">
        <v>1.0</v>
      </c>
      <c r="M33" s="166">
        <f t="shared" ref="M33:M35" si="9">M32 + L33^2 * N$34</f>
        <v>1720</v>
      </c>
      <c r="N33" s="162" t="s">
        <v>79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B34" s="40"/>
      <c r="C34" s="43" t="str">
        <f>IF(G37, "which is enough to cover the loan!", "which is less than the loan requirement of " &amp; TEXT(F41, "$0,000"))</f>
        <v>which is less than the loan requirement of $147,172</v>
      </c>
      <c r="F34" s="150"/>
      <c r="G34" s="4"/>
      <c r="H34" s="163" t="s">
        <v>80</v>
      </c>
      <c r="I34" s="164">
        <v>2340.0</v>
      </c>
      <c r="J34" s="74"/>
      <c r="K34" s="137"/>
      <c r="L34" s="165">
        <v>2.0</v>
      </c>
      <c r="M34" s="166">
        <f t="shared" si="9"/>
        <v>2200</v>
      </c>
      <c r="N34" s="169">
        <v>120.0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B35" s="39" t="s">
        <v>81</v>
      </c>
      <c r="F35" s="150"/>
      <c r="G35" s="4"/>
      <c r="H35" s="163" t="s">
        <v>82</v>
      </c>
      <c r="I35" s="164">
        <v>3418.0</v>
      </c>
      <c r="J35" s="74"/>
      <c r="K35" s="137"/>
      <c r="L35" s="165">
        <v>3.0</v>
      </c>
      <c r="M35" s="166">
        <f t="shared" si="9"/>
        <v>3280</v>
      </c>
      <c r="N35" s="170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B36" s="46" t="s">
        <v>18</v>
      </c>
      <c r="C36" s="171">
        <f>E36/C$5</f>
        <v>1226.433265</v>
      </c>
      <c r="D36" s="172"/>
      <c r="E36" s="172">
        <f>-PMT(C16/12, C17*12, C15)</f>
        <v>122643.3265</v>
      </c>
      <c r="F36" s="33"/>
      <c r="G36" s="173" t="s">
        <v>16</v>
      </c>
      <c r="H36" s="163" t="s">
        <v>83</v>
      </c>
      <c r="I36" s="74"/>
      <c r="J36" s="74"/>
      <c r="K36" s="166">
        <f>N32 + K30^2 * N34</f>
        <v>1870</v>
      </c>
      <c r="L36" s="74"/>
      <c r="M36" s="74"/>
      <c r="N36" s="7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B37" s="39" t="s">
        <v>14</v>
      </c>
      <c r="F37" s="150"/>
      <c r="G37" s="174" t="b">
        <f>E33 &gt; F41</f>
        <v>0</v>
      </c>
      <c r="H37" s="70" t="s">
        <v>84</v>
      </c>
      <c r="I37" s="74"/>
      <c r="J37" s="74"/>
      <c r="K37" s="175">
        <v>0.1</v>
      </c>
      <c r="L37" s="74"/>
      <c r="M37" s="74"/>
      <c r="N37" s="7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B38" s="176" t="s">
        <v>19</v>
      </c>
      <c r="C38" s="177">
        <f>(E33 - E36)/C$5</f>
        <v>120.9501314</v>
      </c>
      <c r="D38" s="42"/>
      <c r="E38" s="155">
        <f>E33 - E36</f>
        <v>12095.01314</v>
      </c>
      <c r="F38" s="33"/>
      <c r="G38" s="174"/>
      <c r="H38" s="70"/>
      <c r="I38" s="74"/>
      <c r="J38" s="74"/>
      <c r="K38" s="72"/>
      <c r="L38" s="74"/>
      <c r="M38" s="74"/>
      <c r="N38" s="7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B39" s="86"/>
      <c r="C39" s="89" t="str">
        <f>IF(G42, "which is enough return for the developer!", "which is less than the hurdle rate requirement of " &amp; TEXT(F42, "$0,000"))</f>
        <v>which is less than the hurdle rate requirement of $33,333</v>
      </c>
      <c r="D39" s="178"/>
      <c r="E39" s="178"/>
      <c r="F39" s="179"/>
      <c r="G39" s="180"/>
      <c r="H39" s="181" t="s">
        <v>85</v>
      </c>
      <c r="I39" s="165" t="s">
        <v>86</v>
      </c>
      <c r="J39" s="74"/>
      <c r="K39" s="165" t="s">
        <v>87</v>
      </c>
      <c r="L39" s="72"/>
      <c r="M39" s="72"/>
      <c r="N39" s="7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B40" s="36" t="s">
        <v>20</v>
      </c>
      <c r="C40" s="32"/>
      <c r="D40" s="32"/>
      <c r="E40" s="32"/>
      <c r="F40" s="33"/>
      <c r="G40" s="174"/>
      <c r="H40" s="70"/>
      <c r="I40" s="71">
        <v>1870.0</v>
      </c>
      <c r="J40" s="74"/>
      <c r="K40" s="182">
        <f t="shared" ref="K40:K43" si="10">K$37 - (0.1 - (I40/K$36)^3*0.1)</f>
        <v>0.1</v>
      </c>
      <c r="L40" s="74"/>
      <c r="M40" s="74"/>
      <c r="N40" s="7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B41" s="30" t="s">
        <v>21</v>
      </c>
      <c r="C41" s="132">
        <v>1.2</v>
      </c>
      <c r="D41" s="37"/>
      <c r="E41" s="95" t="s">
        <v>22</v>
      </c>
      <c r="F41" s="183">
        <f>E36*C41</f>
        <v>147171.9918</v>
      </c>
      <c r="G41" s="173" t="s">
        <v>42</v>
      </c>
      <c r="H41" s="149"/>
      <c r="I41" s="71">
        <v>1200.0</v>
      </c>
      <c r="J41" s="74"/>
      <c r="K41" s="182">
        <f t="shared" si="10"/>
        <v>0.02642523867</v>
      </c>
      <c r="L41" s="74"/>
      <c r="M41" s="74"/>
      <c r="N41" s="7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B42" s="57" t="s">
        <v>43</v>
      </c>
      <c r="C42" s="184">
        <v>0.08</v>
      </c>
      <c r="D42" s="98"/>
      <c r="E42" s="60" t="s">
        <v>44</v>
      </c>
      <c r="F42" s="99">
        <f>C13*C42/12</f>
        <v>33333.33333</v>
      </c>
      <c r="G42" s="174" t="b">
        <f>E38 &gt; F42</f>
        <v>0</v>
      </c>
      <c r="H42" s="185"/>
      <c r="I42" s="71">
        <v>2200.0</v>
      </c>
      <c r="J42" s="74"/>
      <c r="K42" s="182">
        <f t="shared" si="10"/>
        <v>0.1628332994</v>
      </c>
      <c r="L42" s="74"/>
      <c r="M42" s="74"/>
      <c r="N42" s="7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G43" s="186"/>
      <c r="H43" s="185"/>
      <c r="I43" s="71">
        <v>3000.0</v>
      </c>
      <c r="J43" s="74"/>
      <c r="K43" s="182">
        <f t="shared" si="10"/>
        <v>0.4128943543</v>
      </c>
      <c r="L43" s="72"/>
      <c r="M43" s="72"/>
      <c r="N43" s="7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G44" s="186"/>
      <c r="H44" s="187" t="s">
        <v>88</v>
      </c>
      <c r="I44" s="165" t="s">
        <v>89</v>
      </c>
      <c r="J44" s="137"/>
      <c r="K44" s="165" t="s">
        <v>90</v>
      </c>
      <c r="L44" s="74"/>
      <c r="M44" s="74"/>
      <c r="N44" s="7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G45" s="4"/>
      <c r="H45" s="188" t="s">
        <v>91</v>
      </c>
      <c r="I45" s="189">
        <f>C24</f>
        <v>2600</v>
      </c>
      <c r="J45" s="190" t="s">
        <v>92</v>
      </c>
      <c r="K45" s="191">
        <f>K$37 - (0.1 - (I45/K$36)^2*0.1)</f>
        <v>0.1933140782</v>
      </c>
      <c r="L45" s="85"/>
      <c r="M45" s="85"/>
      <c r="N45" s="79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D47" s="4"/>
      <c r="E47" s="1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19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19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19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19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19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19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19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19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19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19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19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19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19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19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19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</sheetData>
  <mergeCells count="16">
    <mergeCell ref="B2:F2"/>
    <mergeCell ref="B4:F4"/>
    <mergeCell ref="B9:C9"/>
    <mergeCell ref="J20:K20"/>
    <mergeCell ref="J21:K21"/>
    <mergeCell ref="J22:K22"/>
    <mergeCell ref="J23:K23"/>
    <mergeCell ref="B37:F37"/>
    <mergeCell ref="C39:F39"/>
    <mergeCell ref="J24:K24"/>
    <mergeCell ref="B25:D25"/>
    <mergeCell ref="B26:F26"/>
    <mergeCell ref="B30:F30"/>
    <mergeCell ref="B32:F32"/>
    <mergeCell ref="C34:F34"/>
    <mergeCell ref="B35:F35"/>
  </mergeCells>
  <conditionalFormatting sqref="B33:F34">
    <cfRule type="expression" dxfId="0" priority="1">
      <formula>NOT($G$37)</formula>
    </cfRule>
  </conditionalFormatting>
  <conditionalFormatting sqref="B38:F39">
    <cfRule type="expression" dxfId="0" priority="2">
      <formula>NOT($G$42)</formula>
    </cfRule>
  </conditionalFormatting>
  <drawing r:id="rId1"/>
</worksheet>
</file>